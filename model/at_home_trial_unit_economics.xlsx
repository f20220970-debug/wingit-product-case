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Model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<sst xmlns="http://schemas.openxmlformats.org/spreadsheetml/2006/main" count="105" uniqueCount="84">
  <si>
    <t xml:space="preserve">At-home beauty trial: unit economics model</t>
  </si>
  <si>
    <t xml:space="preserve">Question</t>
  </si>
  <si>
    <t xml:space="preserve">Does an at-home, advisor-led try-and-buy visit make money, and which levers matter most?</t>
  </si>
  <si>
    <t xml:space="preserve">Approach</t>
  </si>
  <si>
    <t xml:space="preserve">Per-visit P&amp;L (revenue, gross profit, advisor, travel, testers, shrinkage) → contribution per visit, break-even visits per advisor per day, then per-customer economics including app reorders and CAC payback.</t>
  </si>
  <si>
    <t xml:space="preserve">Selected scenario</t>
  </si>
  <si>
    <t xml:space="preserve">Contribution per visit</t>
  </si>
  <si>
    <t xml:space="preserve">Break-even visits per advisor per day</t>
  </si>
  <si>
    <t xml:space="preserve">CAC payback (months)</t>
  </si>
  <si>
    <t xml:space="preserve">Share of yearly contribution from app reorders</t>
  </si>
  <si>
    <t xml:space="preserve">Colour code</t>
  </si>
  <si>
    <t xml:space="preserve">Blue on yellow = assumption to change; black = formula.</t>
  </si>
  <si>
    <t xml:space="preserve">Important</t>
  </si>
  <si>
    <t xml:space="preserve">All inputs are illustrative assumptions, not Wingit data.</t>
  </si>
  <si>
    <t xml:space="preserve">Inputs: illustrative assumptions (blue on yellow). Replace with real data.</t>
  </si>
  <si>
    <t xml:space="preserve">Assumption</t>
  </si>
  <si>
    <t xml:space="preserve">Bear</t>
  </si>
  <si>
    <t xml:space="preserve">Base</t>
  </si>
  <si>
    <t xml:space="preserve">Bull</t>
  </si>
  <si>
    <t xml:space="preserve">Unit</t>
  </si>
  <si>
    <t xml:space="preserve">Basis</t>
  </si>
  <si>
    <t xml:space="preserve">Products tried per visit</t>
  </si>
  <si>
    <t xml:space="preserve">items</t>
  </si>
  <si>
    <t xml:space="preserve">Kit of 12-18 items, in line with the pre-visit profile PRD</t>
  </si>
  <si>
    <t xml:space="preserve">Visit conversion (customer buys at least one item)</t>
  </si>
  <si>
    <t xml:space="preserve">%</t>
  </si>
  <si>
    <t xml:space="preserve">Assumption: try-before-you-pay should convert far above online browsing</t>
  </si>
  <si>
    <t xml:space="preserve">Items bought per converting visit</t>
  </si>
  <si>
    <t xml:space="preserve">Average selling price per item</t>
  </si>
  <si>
    <t xml:space="preserve">₹</t>
  </si>
  <si>
    <t xml:space="preserve">Assumption for premium makeup, skincare and fragrance</t>
  </si>
  <si>
    <t xml:space="preserve">Gross margin on products</t>
  </si>
  <si>
    <t xml:space="preserve">Assumption: retailer margin on premium beauty</t>
  </si>
  <si>
    <t xml:space="preserve">Discounts and payment costs</t>
  </si>
  <si>
    <t xml:space="preserve">% of revenue</t>
  </si>
  <si>
    <t xml:space="preserve">Advisor cost per working day</t>
  </si>
  <si>
    <t xml:space="preserve">₹/day</t>
  </si>
  <si>
    <t xml:space="preserve">Assumption: salary + incentives / working days</t>
  </si>
  <si>
    <t xml:space="preserve">Visits per advisor per day</t>
  </si>
  <si>
    <t xml:space="preserve">visits</t>
  </si>
  <si>
    <t xml:space="preserve">Assumption: travel between homes limits visits</t>
  </si>
  <si>
    <t xml:space="preserve">Travel cost per visit</t>
  </si>
  <si>
    <t xml:space="preserve">Assumption: two-wheeler/cab within a city cluster</t>
  </si>
  <si>
    <t xml:space="preserve">Testers and consumables per visit</t>
  </si>
  <si>
    <t xml:space="preserve">Assumption: hygienic single-use testers</t>
  </si>
  <si>
    <t xml:space="preserve">Shrinkage / damage per visit</t>
  </si>
  <si>
    <t xml:space="preserve">CAC per new customer (first visit booked)</t>
  </si>
  <si>
    <t xml:space="preserve">Assumption: premium targeting via Instagram and referrals</t>
  </si>
  <si>
    <t xml:space="preserve">Advisor visits per customer per year</t>
  </si>
  <si>
    <t xml:space="preserve">App reorders per customer per year (no visit)</t>
  </si>
  <si>
    <t xml:space="preserve">orders</t>
  </si>
  <si>
    <t xml:space="preserve">Assumption: replenishing products already kept</t>
  </si>
  <si>
    <t xml:space="preserve">Average app reorder value</t>
  </si>
  <si>
    <t xml:space="preserve">Assumption: one replenished item</t>
  </si>
  <si>
    <t xml:space="preserve">Fulfilment cost per app reorder</t>
  </si>
  <si>
    <t xml:space="preserve">Assumption: courier/quick delivery</t>
  </si>
  <si>
    <t xml:space="preserve">Selected scenario (type Bear, Base or Bull)</t>
  </si>
  <si>
    <t xml:space="preserve">Scenario column (2 = Bear, 3 = Base, 4 = Bull)</t>
  </si>
  <si>
    <t xml:space="preserve">Every number here is an illustrative assumption (Wingit's real figures are not public). The model shows how the economics work and which levers matter; replace inputs with real data.</t>
  </si>
  <si>
    <t xml:space="preserve">Unit economics by scenario (all formulas)</t>
  </si>
  <si>
    <t xml:space="preserve">Line</t>
  </si>
  <si>
    <t xml:space="preserve">How it's calculated</t>
  </si>
  <si>
    <t xml:space="preserve">Revenue per visit</t>
  </si>
  <si>
    <t xml:space="preserve">conversion × items per converting visit × price</t>
  </si>
  <si>
    <t xml:space="preserve">Gross profit per visit</t>
  </si>
  <si>
    <t xml:space="preserve">revenue × (margin − discounts and payment costs)</t>
  </si>
  <si>
    <t xml:space="preserve">Advisor cost per visit</t>
  </si>
  <si>
    <t xml:space="preserve">daily advisor cost ÷ visits per day</t>
  </si>
  <si>
    <t xml:space="preserve">Travel, testers and shrinkage per visit</t>
  </si>
  <si>
    <t xml:space="preserve">sum of per-visit variable costs</t>
  </si>
  <si>
    <t xml:space="preserve">gross profit − advisor − other variable costs</t>
  </si>
  <si>
    <t xml:space="preserve">Contribution margin per visit</t>
  </si>
  <si>
    <t xml:space="preserve">contribution ÷ revenue</t>
  </si>
  <si>
    <t xml:space="preserve">advisor day cost ÷ contribution before advisor cost</t>
  </si>
  <si>
    <t xml:space="preserve">Contribution per customer per year</t>
  </si>
  <si>
    <t xml:space="preserve">visits × contribution + app reorders × (value × net margin − fulfilment)</t>
  </si>
  <si>
    <t xml:space="preserve">1 − visit contribution ÷ total</t>
  </si>
  <si>
    <t xml:space="preserve">CAC ÷ monthly contribution per customer</t>
  </si>
  <si>
    <t xml:space="preserve">Contribution-to-CAC ratio (year 1)</t>
  </si>
  <si>
    <t xml:space="preserve">year-1 contribution ÷ CAC</t>
  </si>
  <si>
    <t xml:space="preserve">Bear, Base and Bull columns each use their own inputs. Cover uses the selected scenario on Inputs!B22.</t>
  </si>
  <si>
    <t xml:space="preserve">Sensitivity: contribution per visit (₹), base case, other inputs held</t>
  </si>
  <si>
    <t xml:space="preserve">Visit conversion ↓   ×   visits per advisor per day →</t>
  </si>
  <si>
    <t xml:space="preserve">Average selling price ↓   ×   items per converting visit →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</si>
</sst>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;&quot;(₹&quot;#,##0\);\-"/>
    <numFmt numFmtId="166" formatCode="#,##0.0;\(#,##0.0\);\-"/>
    <numFmt numFmtId="167" formatCode="0.0%;\(0.0%\);\-"/>
    <numFmt numFmtId="168" formatCode="#,##0"/>
    <numFmt numFmtId="169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B2C4A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2C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Contribution per visit by scenario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Model!$B$3:$D$3</c:f>
              <c:strCache>
                <c:ptCount val="3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</c:strCache>
            </c:strRef>
          </c:cat>
          <c:val>
            <c:numRef>
              <c:f>Model!$B$8:$D$8</c:f>
              <c:numCache>
                <c:formatCode>\₹#,##0;"(₹"#,##0\);\-</c:formatCode>
                <c:ptCount val="3"/>
                <c:pt idx="0">
                  <c:v>-852.483333333333</c:v>
                </c:pt>
                <c:pt idx="1">
                  <c:v>43</c:v>
                </c:pt>
                <c:pt idx="2">
                  <c:v>1674</c:v>
                </c:pt>
              </c:numCache>
            </c:numRef>
          </c:val>
        </c:ser>
        <c:gapWidth val="150"/>
        <c:overlap val="0"/>
        <c:axId val="24307004"/>
        <c:axId val="84181659"/>
      </c:barChart>
      <c:catAx>
        <c:axId val="243070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81659"/>
        <c:crosses val="autoZero"/>
        <c:auto val="1"/>
        <c:lblAlgn val="ctr"/>
        <c:lblOffset val="100"/>
        <c:noMultiLvlLbl val="0"/>
      </c:catAx>
      <c:valAx>
        <c:axId val="841816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070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14</xdr:col>
      <xdr:colOff>147600</xdr:colOff>
      <xdr:row>15</xdr:row>
      <xdr:rowOff>13320</xdr:rowOff>
    </xdr:to>
    <xdr:graphicFrame>
      <xdr:nvGraphicFramePr>
        <xdr:cNvPr id="0" name="Chart 1"/>
        <xdr:cNvGraphicFramePr/>
      </xdr:nvGraphicFramePr>
      <xdr:xfrm>
        <a:off x="11748240" y="380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26.8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tr">
        <f aca="false">Inputs!B22</f>
        <v>Base</v>
      </c>
    </row>
    <row r="6" customFormat="false" ht="15" hidden="false" customHeight="false" outlineLevel="0" collapsed="false">
      <c r="A6" s="3" t="s">
        <v>6</v>
      </c>
      <c r="B6" s="5" t="n">
        <f aca="false">INDEX(Model!B8:D8,1,Inputs!B23-1)</f>
        <v>43</v>
      </c>
    </row>
    <row r="7" customFormat="false" ht="15" hidden="false" customHeight="false" outlineLevel="0" collapsed="false">
      <c r="A7" s="3" t="s">
        <v>7</v>
      </c>
      <c r="B7" s="6" t="n">
        <f aca="false">INDEX(Model!B10:D10,1,Inputs!B23-1)</f>
        <v>3.58851674641148</v>
      </c>
    </row>
    <row r="8" customFormat="false" ht="15" hidden="false" customHeight="false" outlineLevel="0" collapsed="false">
      <c r="A8" s="3" t="s">
        <v>8</v>
      </c>
      <c r="B8" s="6" t="n">
        <f aca="false">INDEX(Model!B13:D13,1,Inputs!B23-1)</f>
        <v>6.98080279232112</v>
      </c>
    </row>
    <row r="9" customFormat="false" ht="15" hidden="false" customHeight="false" outlineLevel="0" collapsed="false">
      <c r="A9" s="3" t="s">
        <v>9</v>
      </c>
      <c r="B9" s="7" t="n">
        <f aca="false">INDEX(Model!B12:D12,1,Inputs!B23-1)</f>
        <v>0.924956369982548</v>
      </c>
    </row>
    <row r="10" customFormat="false" ht="15" hidden="false" customHeight="false" outlineLevel="0" collapsed="false">
      <c r="A10" s="3" t="s">
        <v>10</v>
      </c>
      <c r="B10" s="4" t="s">
        <v>11</v>
      </c>
    </row>
    <row r="11" customFormat="false" ht="15" hidden="false" customHeight="false" outlineLevel="0" collapsed="false">
      <c r="A11" s="3" t="s">
        <v>12</v>
      </c>
      <c r="B11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8" t="s">
        <v>15</v>
      </c>
      <c r="B3" s="8" t="s">
        <v>16</v>
      </c>
      <c r="C3" s="8" t="s">
        <v>17</v>
      </c>
      <c r="D3" s="8" t="s">
        <v>18</v>
      </c>
      <c r="E3" s="8" t="s">
        <v>19</v>
      </c>
      <c r="F3" s="8" t="s">
        <v>20</v>
      </c>
    </row>
    <row r="4" customFormat="false" ht="15" hidden="false" customHeight="false" outlineLevel="0" collapsed="false">
      <c r="A4" s="9" t="s">
        <v>21</v>
      </c>
      <c r="B4" s="10" t="n">
        <v>12</v>
      </c>
      <c r="C4" s="10" t="n">
        <v>15</v>
      </c>
      <c r="D4" s="10" t="n">
        <v>18</v>
      </c>
      <c r="E4" s="9" t="s">
        <v>22</v>
      </c>
      <c r="F4" s="9" t="s">
        <v>23</v>
      </c>
    </row>
    <row r="5" customFormat="false" ht="15" hidden="false" customHeight="false" outlineLevel="0" collapsed="false">
      <c r="A5" s="9" t="s">
        <v>24</v>
      </c>
      <c r="B5" s="11" t="n">
        <v>0.45</v>
      </c>
      <c r="C5" s="11" t="n">
        <v>0.6</v>
      </c>
      <c r="D5" s="11" t="n">
        <v>0.75</v>
      </c>
      <c r="E5" s="9" t="s">
        <v>25</v>
      </c>
      <c r="F5" s="9" t="s">
        <v>26</v>
      </c>
    </row>
    <row r="6" customFormat="false" ht="15" hidden="false" customHeight="false" outlineLevel="0" collapsed="false">
      <c r="A6" s="9" t="s">
        <v>27</v>
      </c>
      <c r="B6" s="12" t="n">
        <v>1.5</v>
      </c>
      <c r="C6" s="12" t="n">
        <v>2.2</v>
      </c>
      <c r="D6" s="12" t="n">
        <v>3</v>
      </c>
      <c r="E6" s="9" t="s">
        <v>22</v>
      </c>
      <c r="F6" s="9" t="s">
        <v>15</v>
      </c>
    </row>
    <row r="7" customFormat="false" ht="15" hidden="false" customHeight="false" outlineLevel="0" collapsed="false">
      <c r="A7" s="9" t="s">
        <v>28</v>
      </c>
      <c r="B7" s="13" t="n">
        <v>1800</v>
      </c>
      <c r="C7" s="13" t="n">
        <v>2500</v>
      </c>
      <c r="D7" s="13" t="n">
        <v>3200</v>
      </c>
      <c r="E7" s="9" t="s">
        <v>29</v>
      </c>
      <c r="F7" s="9" t="s">
        <v>30</v>
      </c>
    </row>
    <row r="8" customFormat="false" ht="15" hidden="false" customHeight="false" outlineLevel="0" collapsed="false">
      <c r="A8" s="9" t="s">
        <v>31</v>
      </c>
      <c r="B8" s="11" t="n">
        <v>0.25</v>
      </c>
      <c r="C8" s="11" t="n">
        <v>0.3</v>
      </c>
      <c r="D8" s="11" t="n">
        <v>0.35</v>
      </c>
      <c r="E8" s="9" t="s">
        <v>25</v>
      </c>
      <c r="F8" s="9" t="s">
        <v>32</v>
      </c>
    </row>
    <row r="9" customFormat="false" ht="15" hidden="false" customHeight="false" outlineLevel="0" collapsed="false">
      <c r="A9" s="9" t="s">
        <v>33</v>
      </c>
      <c r="B9" s="11" t="n">
        <v>0.06</v>
      </c>
      <c r="C9" s="11" t="n">
        <v>0.04</v>
      </c>
      <c r="D9" s="11" t="n">
        <v>0.03</v>
      </c>
      <c r="E9" s="9" t="s">
        <v>34</v>
      </c>
      <c r="F9" s="9" t="s">
        <v>15</v>
      </c>
    </row>
    <row r="10" customFormat="false" ht="15" hidden="false" customHeight="false" outlineLevel="0" collapsed="false">
      <c r="A10" s="9" t="s">
        <v>35</v>
      </c>
      <c r="B10" s="13" t="n">
        <v>1600</v>
      </c>
      <c r="C10" s="13" t="n">
        <v>1500</v>
      </c>
      <c r="D10" s="13" t="n">
        <v>1400</v>
      </c>
      <c r="E10" s="9" t="s">
        <v>36</v>
      </c>
      <c r="F10" s="9" t="s">
        <v>37</v>
      </c>
    </row>
    <row r="11" customFormat="false" ht="15" hidden="false" customHeight="false" outlineLevel="0" collapsed="false">
      <c r="A11" s="9" t="s">
        <v>38</v>
      </c>
      <c r="B11" s="12" t="n">
        <v>3</v>
      </c>
      <c r="C11" s="12" t="n">
        <v>4</v>
      </c>
      <c r="D11" s="12" t="n">
        <v>5</v>
      </c>
      <c r="E11" s="9" t="s">
        <v>39</v>
      </c>
      <c r="F11" s="9" t="s">
        <v>40</v>
      </c>
    </row>
    <row r="12" customFormat="false" ht="15" hidden="false" customHeight="false" outlineLevel="0" collapsed="false">
      <c r="A12" s="9" t="s">
        <v>41</v>
      </c>
      <c r="B12" s="13" t="n">
        <v>250</v>
      </c>
      <c r="C12" s="13" t="n">
        <v>200</v>
      </c>
      <c r="D12" s="13" t="n">
        <v>160</v>
      </c>
      <c r="E12" s="9" t="s">
        <v>29</v>
      </c>
      <c r="F12" s="9" t="s">
        <v>42</v>
      </c>
    </row>
    <row r="13" customFormat="false" ht="15" hidden="false" customHeight="false" outlineLevel="0" collapsed="false">
      <c r="A13" s="9" t="s">
        <v>43</v>
      </c>
      <c r="B13" s="13" t="n">
        <v>220</v>
      </c>
      <c r="C13" s="13" t="n">
        <v>180</v>
      </c>
      <c r="D13" s="13" t="n">
        <v>150</v>
      </c>
      <c r="E13" s="9" t="s">
        <v>29</v>
      </c>
      <c r="F13" s="9" t="s">
        <v>44</v>
      </c>
    </row>
    <row r="14" customFormat="false" ht="15" hidden="false" customHeight="false" outlineLevel="0" collapsed="false">
      <c r="A14" s="9" t="s">
        <v>45</v>
      </c>
      <c r="B14" s="13" t="n">
        <v>80</v>
      </c>
      <c r="C14" s="13" t="n">
        <v>60</v>
      </c>
      <c r="D14" s="13" t="n">
        <v>40</v>
      </c>
      <c r="E14" s="9" t="s">
        <v>29</v>
      </c>
      <c r="F14" s="9" t="s">
        <v>15</v>
      </c>
    </row>
    <row r="15" customFormat="false" ht="15" hidden="false" customHeight="false" outlineLevel="0" collapsed="false">
      <c r="A15" s="9" t="s">
        <v>46</v>
      </c>
      <c r="B15" s="13" t="n">
        <v>1500</v>
      </c>
      <c r="C15" s="13" t="n">
        <v>1000</v>
      </c>
      <c r="D15" s="13" t="n">
        <v>700</v>
      </c>
      <c r="E15" s="9" t="s">
        <v>29</v>
      </c>
      <c r="F15" s="9" t="s">
        <v>47</v>
      </c>
    </row>
    <row r="16" customFormat="false" ht="15" hidden="false" customHeight="false" outlineLevel="0" collapsed="false">
      <c r="A16" s="9" t="s">
        <v>48</v>
      </c>
      <c r="B16" s="12" t="n">
        <v>2</v>
      </c>
      <c r="C16" s="12" t="n">
        <v>3</v>
      </c>
      <c r="D16" s="12" t="n">
        <v>4</v>
      </c>
      <c r="E16" s="9" t="s">
        <v>39</v>
      </c>
      <c r="F16" s="9" t="s">
        <v>15</v>
      </c>
    </row>
    <row r="17" customFormat="false" ht="15" hidden="false" customHeight="false" outlineLevel="0" collapsed="false">
      <c r="A17" s="9" t="s">
        <v>49</v>
      </c>
      <c r="B17" s="12" t="n">
        <v>1</v>
      </c>
      <c r="C17" s="12" t="n">
        <v>3</v>
      </c>
      <c r="D17" s="12" t="n">
        <v>5</v>
      </c>
      <c r="E17" s="9" t="s">
        <v>50</v>
      </c>
      <c r="F17" s="9" t="s">
        <v>51</v>
      </c>
    </row>
    <row r="18" customFormat="false" ht="15" hidden="false" customHeight="false" outlineLevel="0" collapsed="false">
      <c r="A18" s="9" t="s">
        <v>52</v>
      </c>
      <c r="B18" s="13" t="n">
        <v>1800</v>
      </c>
      <c r="C18" s="13" t="n">
        <v>2500</v>
      </c>
      <c r="D18" s="13" t="n">
        <v>3200</v>
      </c>
      <c r="E18" s="9" t="s">
        <v>29</v>
      </c>
      <c r="F18" s="9" t="s">
        <v>53</v>
      </c>
    </row>
    <row r="19" customFormat="false" ht="15" hidden="false" customHeight="false" outlineLevel="0" collapsed="false">
      <c r="A19" s="9" t="s">
        <v>54</v>
      </c>
      <c r="B19" s="13" t="n">
        <v>150</v>
      </c>
      <c r="C19" s="13" t="n">
        <v>120</v>
      </c>
      <c r="D19" s="13" t="n">
        <v>100</v>
      </c>
      <c r="E19" s="9" t="s">
        <v>29</v>
      </c>
      <c r="F19" s="9" t="s">
        <v>55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</row>
    <row r="22" customFormat="false" ht="15" hidden="false" customHeight="false" outlineLevel="0" collapsed="false">
      <c r="A22" s="3" t="s">
        <v>56</v>
      </c>
      <c r="B22" s="14" t="s">
        <v>17</v>
      </c>
      <c r="C22" s="2"/>
      <c r="D22" s="2"/>
      <c r="E22" s="2"/>
      <c r="F22" s="2"/>
    </row>
    <row r="23" customFormat="false" ht="15" hidden="false" customHeight="false" outlineLevel="0" collapsed="false">
      <c r="A23" s="2" t="s">
        <v>57</v>
      </c>
      <c r="B23" s="2" t="n">
        <f aca="false">MATCH(B22,{"Bear","Base","Bull"},0)+1</f>
        <v>3</v>
      </c>
      <c r="C23" s="2"/>
      <c r="D23" s="2"/>
      <c r="E23" s="2"/>
      <c r="F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</row>
    <row r="25" customFormat="false" ht="15" hidden="false" customHeight="false" outlineLevel="0" collapsed="false">
      <c r="A25" s="2" t="s">
        <v>58</v>
      </c>
      <c r="B25" s="2"/>
      <c r="C25" s="2"/>
      <c r="D25" s="2"/>
      <c r="E25" s="2"/>
      <c r="F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59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8" t="s">
        <v>60</v>
      </c>
      <c r="B3" s="8" t="s">
        <v>16</v>
      </c>
      <c r="C3" s="8" t="s">
        <v>17</v>
      </c>
      <c r="D3" s="8" t="s">
        <v>18</v>
      </c>
      <c r="E3" s="8" t="s">
        <v>61</v>
      </c>
    </row>
    <row r="4" customFormat="false" ht="15" hidden="false" customHeight="false" outlineLevel="0" collapsed="false">
      <c r="A4" s="9" t="s">
        <v>62</v>
      </c>
      <c r="B4" s="15" t="n">
        <f aca="false">Inputs!$B$5*Inputs!$B$6*Inputs!$B$7</f>
        <v>1215</v>
      </c>
      <c r="C4" s="15" t="n">
        <f aca="false">Inputs!$C$5*Inputs!$C$6*Inputs!$C$7</f>
        <v>3300</v>
      </c>
      <c r="D4" s="15" t="n">
        <f aca="false">Inputs!$D$5*Inputs!$D$6*Inputs!$D$7</f>
        <v>7200</v>
      </c>
      <c r="E4" s="9" t="s">
        <v>63</v>
      </c>
    </row>
    <row r="5" customFormat="false" ht="15" hidden="false" customHeight="false" outlineLevel="0" collapsed="false">
      <c r="A5" s="9" t="s">
        <v>64</v>
      </c>
      <c r="B5" s="15" t="n">
        <f aca="false">B4*(Inputs!$B$8-Inputs!$B$9)</f>
        <v>230.85</v>
      </c>
      <c r="C5" s="15" t="n">
        <f aca="false">C4*(Inputs!$C$8-Inputs!$C$9)</f>
        <v>858</v>
      </c>
      <c r="D5" s="15" t="n">
        <f aca="false">D4*(Inputs!$D$8-Inputs!$D$9)</f>
        <v>2304</v>
      </c>
      <c r="E5" s="9" t="s">
        <v>65</v>
      </c>
    </row>
    <row r="6" customFormat="false" ht="15" hidden="false" customHeight="false" outlineLevel="0" collapsed="false">
      <c r="A6" s="9" t="s">
        <v>66</v>
      </c>
      <c r="B6" s="15" t="n">
        <f aca="false">Inputs!$B$10/Inputs!$B$11</f>
        <v>533.333333333333</v>
      </c>
      <c r="C6" s="15" t="n">
        <f aca="false">Inputs!$C$10/Inputs!$C$11</f>
        <v>375</v>
      </c>
      <c r="D6" s="15" t="n">
        <f aca="false">Inputs!$D$10/Inputs!$D$11</f>
        <v>280</v>
      </c>
      <c r="E6" s="9" t="s">
        <v>67</v>
      </c>
    </row>
    <row r="7" customFormat="false" ht="15" hidden="false" customHeight="false" outlineLevel="0" collapsed="false">
      <c r="A7" s="9" t="s">
        <v>68</v>
      </c>
      <c r="B7" s="15" t="n">
        <f aca="false">Inputs!$B$12+Inputs!$B$13+Inputs!$B$14</f>
        <v>550</v>
      </c>
      <c r="C7" s="15" t="n">
        <f aca="false">Inputs!$C$12+Inputs!$C$13+Inputs!$C$14</f>
        <v>440</v>
      </c>
      <c r="D7" s="15" t="n">
        <f aca="false">Inputs!$D$12+Inputs!$D$13+Inputs!$D$14</f>
        <v>350</v>
      </c>
      <c r="E7" s="9" t="s">
        <v>69</v>
      </c>
    </row>
    <row r="8" customFormat="false" ht="15" hidden="false" customHeight="false" outlineLevel="0" collapsed="false">
      <c r="A8" s="3" t="s">
        <v>6</v>
      </c>
      <c r="B8" s="16" t="n">
        <f aca="false">B5-B6-B7</f>
        <v>-852.483333333333</v>
      </c>
      <c r="C8" s="16" t="n">
        <f aca="false">C5-C6-C7</f>
        <v>43</v>
      </c>
      <c r="D8" s="16" t="n">
        <f aca="false">D5-D6-D7</f>
        <v>1674</v>
      </c>
      <c r="E8" s="9" t="s">
        <v>70</v>
      </c>
    </row>
    <row r="9" customFormat="false" ht="15" hidden="false" customHeight="false" outlineLevel="0" collapsed="false">
      <c r="A9" s="9" t="s">
        <v>71</v>
      </c>
      <c r="B9" s="17" t="n">
        <f aca="false">IF(B4=0,0,B8/B4)</f>
        <v>-0.701632373113855</v>
      </c>
      <c r="C9" s="17" t="n">
        <f aca="false">IF(C4=0,0,C8/C4)</f>
        <v>0.013030303030303</v>
      </c>
      <c r="D9" s="17" t="n">
        <f aca="false">IF(D4=0,0,D8/D4)</f>
        <v>0.2325</v>
      </c>
      <c r="E9" s="9" t="s">
        <v>72</v>
      </c>
    </row>
    <row r="10" customFormat="false" ht="15" hidden="false" customHeight="false" outlineLevel="0" collapsed="false">
      <c r="A10" s="9" t="s">
        <v>7</v>
      </c>
      <c r="B10" s="18" t="str">
        <f aca="false">IF((B5-B7)&lt;=0,"never",Inputs!$B$10/(B5-B7))</f>
        <v>never</v>
      </c>
      <c r="C10" s="18" t="n">
        <f aca="false">IF((C5-C7)&lt;=0,"never",Inputs!$C$10/(C5-C7))</f>
        <v>3.58851674641148</v>
      </c>
      <c r="D10" s="18" t="n">
        <f aca="false">IF((D5-D7)&lt;=0,"never",Inputs!$D$10/(D5-D7))</f>
        <v>0.716479017400205</v>
      </c>
      <c r="E10" s="9" t="s">
        <v>73</v>
      </c>
    </row>
    <row r="11" customFormat="false" ht="15" hidden="false" customHeight="false" outlineLevel="0" collapsed="false">
      <c r="A11" s="9" t="s">
        <v>74</v>
      </c>
      <c r="B11" s="15" t="n">
        <f aca="false">Inputs!$B$16*B8+Inputs!$B$17*(Inputs!$B$18*(Inputs!$B$8-Inputs!$B$9)-Inputs!$B$19)</f>
        <v>-1512.96666666667</v>
      </c>
      <c r="C11" s="15" t="n">
        <f aca="false">Inputs!$C$16*C8+Inputs!$C$17*(Inputs!$C$18*(Inputs!$C$8-Inputs!$C$9)-Inputs!$C$19)</f>
        <v>1719</v>
      </c>
      <c r="D11" s="15" t="n">
        <f aca="false">Inputs!$D$16*D8+Inputs!$D$17*(Inputs!$D$18*(Inputs!$D$8-Inputs!$D$9)-Inputs!$D$19)</f>
        <v>11316</v>
      </c>
      <c r="E11" s="9" t="s">
        <v>75</v>
      </c>
    </row>
    <row r="12" customFormat="false" ht="15" hidden="false" customHeight="false" outlineLevel="0" collapsed="false">
      <c r="A12" s="9" t="s">
        <v>9</v>
      </c>
      <c r="B12" s="17" t="n">
        <f aca="false">IF(B11=0,0,1-Inputs!$B$16*B8/B11)</f>
        <v>-0.126902994117518</v>
      </c>
      <c r="C12" s="17" t="n">
        <f aca="false">IF(C11=0,0,1-Inputs!$C$16*C8/C11)</f>
        <v>0.924956369982548</v>
      </c>
      <c r="D12" s="17" t="n">
        <f aca="false">IF(D11=0,0,1-Inputs!$D$16*D8/D11)</f>
        <v>0.408271474019088</v>
      </c>
      <c r="E12" s="9" t="s">
        <v>76</v>
      </c>
    </row>
    <row r="13" customFormat="false" ht="15" hidden="false" customHeight="false" outlineLevel="0" collapsed="false">
      <c r="A13" s="3" t="s">
        <v>8</v>
      </c>
      <c r="B13" s="19" t="str">
        <f aca="false">IF(B11&lt;=0,"never",Inputs!$B$15/(B11/12))</f>
        <v>never</v>
      </c>
      <c r="C13" s="19" t="n">
        <f aca="false">IF(C11&lt;=0,"never",Inputs!$C$15/(C11/12))</f>
        <v>6.98080279232112</v>
      </c>
      <c r="D13" s="19" t="n">
        <f aca="false">IF(D11&lt;=0,"never",Inputs!$D$15/(D11/12))</f>
        <v>0.742311770943797</v>
      </c>
      <c r="E13" s="9" t="s">
        <v>77</v>
      </c>
    </row>
    <row r="14" customFormat="false" ht="15" hidden="false" customHeight="false" outlineLevel="0" collapsed="false">
      <c r="A14" s="9" t="s">
        <v>78</v>
      </c>
      <c r="B14" s="20" t="n">
        <f aca="false">IF(Inputs!$B$15=0,0,B11/Inputs!$B$15)</f>
        <v>-1.00864444444444</v>
      </c>
      <c r="C14" s="20" t="n">
        <f aca="false">IF(Inputs!$C$15=0,0,C11/Inputs!$C$15)</f>
        <v>1.719</v>
      </c>
      <c r="D14" s="20" t="n">
        <f aca="false">IF(Inputs!$D$15=0,0,D11/Inputs!$D$15)</f>
        <v>16.1657142857143</v>
      </c>
      <c r="E14" s="9" t="s">
        <v>79</v>
      </c>
    </row>
    <row r="15" customFormat="false" ht="15" hidden="false" customHeight="false" outlineLevel="0" collapsed="false">
      <c r="A15" s="2"/>
      <c r="B15" s="2"/>
      <c r="C15" s="2"/>
      <c r="D15" s="2"/>
      <c r="E15" s="2"/>
    </row>
    <row r="16" customFormat="false" ht="15" hidden="false" customHeight="false" outlineLevel="0" collapsed="false">
      <c r="A16" s="2"/>
      <c r="B16" s="2"/>
      <c r="C16" s="2"/>
      <c r="D16" s="2"/>
      <c r="E16" s="2"/>
    </row>
    <row r="17" customFormat="false" ht="15" hidden="false" customHeight="false" outlineLevel="0" collapsed="false">
      <c r="A17" s="2" t="s">
        <v>80</v>
      </c>
      <c r="B17" s="2"/>
      <c r="C17" s="2"/>
      <c r="D17" s="2"/>
      <c r="E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81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82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21" t="n">
        <v>2</v>
      </c>
      <c r="C4" s="21" t="n">
        <v>3</v>
      </c>
      <c r="D4" s="21" t="n">
        <v>4</v>
      </c>
      <c r="E4" s="21" t="n">
        <v>5</v>
      </c>
      <c r="F4" s="21" t="n">
        <v>6</v>
      </c>
    </row>
    <row r="5" customFormat="false" ht="15" hidden="false" customHeight="false" outlineLevel="0" collapsed="false">
      <c r="A5" s="22" t="n">
        <v>0.4</v>
      </c>
      <c r="B5" s="23" t="n">
        <f aca="false">$A5*Inputs!$C$6*Inputs!$C$7*(Inputs!$C$8-Inputs!$C$9)-Inputs!$C$10/B$4-(Inputs!$C$12+Inputs!$C$13+Inputs!$C$14)</f>
        <v>-618</v>
      </c>
      <c r="C5" s="23" t="n">
        <f aca="false">$A5*Inputs!$C$6*Inputs!$C$7*(Inputs!$C$8-Inputs!$C$9)-Inputs!$C$10/C$4-(Inputs!$C$12+Inputs!$C$13+Inputs!$C$14)</f>
        <v>-368</v>
      </c>
      <c r="D5" s="23" t="n">
        <f aca="false">$A5*Inputs!$C$6*Inputs!$C$7*(Inputs!$C$8-Inputs!$C$9)-Inputs!$C$10/D$4-(Inputs!$C$12+Inputs!$C$13+Inputs!$C$14)</f>
        <v>-243</v>
      </c>
      <c r="E5" s="23" t="n">
        <f aca="false">$A5*Inputs!$C$6*Inputs!$C$7*(Inputs!$C$8-Inputs!$C$9)-Inputs!$C$10/E$4-(Inputs!$C$12+Inputs!$C$13+Inputs!$C$14)</f>
        <v>-168</v>
      </c>
      <c r="F5" s="23" t="n">
        <f aca="false">$A5*Inputs!$C$6*Inputs!$C$7*(Inputs!$C$8-Inputs!$C$9)-Inputs!$C$10/F$4-(Inputs!$C$12+Inputs!$C$13+Inputs!$C$14)</f>
        <v>-118</v>
      </c>
    </row>
    <row r="6" customFormat="false" ht="15" hidden="false" customHeight="false" outlineLevel="0" collapsed="false">
      <c r="A6" s="22" t="n">
        <v>0.5</v>
      </c>
      <c r="B6" s="23" t="n">
        <f aca="false">$A6*Inputs!$C$6*Inputs!$C$7*(Inputs!$C$8-Inputs!$C$9)-Inputs!$C$10/B$4-(Inputs!$C$12+Inputs!$C$13+Inputs!$C$14)</f>
        <v>-475</v>
      </c>
      <c r="C6" s="23" t="n">
        <f aca="false">$A6*Inputs!$C$6*Inputs!$C$7*(Inputs!$C$8-Inputs!$C$9)-Inputs!$C$10/C$4-(Inputs!$C$12+Inputs!$C$13+Inputs!$C$14)</f>
        <v>-225</v>
      </c>
      <c r="D6" s="23" t="n">
        <f aca="false">$A6*Inputs!$C$6*Inputs!$C$7*(Inputs!$C$8-Inputs!$C$9)-Inputs!$C$10/D$4-(Inputs!$C$12+Inputs!$C$13+Inputs!$C$14)</f>
        <v>-100</v>
      </c>
      <c r="E6" s="23" t="n">
        <f aca="false">$A6*Inputs!$C$6*Inputs!$C$7*(Inputs!$C$8-Inputs!$C$9)-Inputs!$C$10/E$4-(Inputs!$C$12+Inputs!$C$13+Inputs!$C$14)</f>
        <v>-25</v>
      </c>
      <c r="F6" s="23" t="n">
        <f aca="false">$A6*Inputs!$C$6*Inputs!$C$7*(Inputs!$C$8-Inputs!$C$9)-Inputs!$C$10/F$4-(Inputs!$C$12+Inputs!$C$13+Inputs!$C$14)</f>
        <v>25</v>
      </c>
    </row>
    <row r="7" customFormat="false" ht="15" hidden="false" customHeight="false" outlineLevel="0" collapsed="false">
      <c r="A7" s="22" t="n">
        <v>0.6</v>
      </c>
      <c r="B7" s="23" t="n">
        <f aca="false">$A7*Inputs!$C$6*Inputs!$C$7*(Inputs!$C$8-Inputs!$C$9)-Inputs!$C$10/B$4-(Inputs!$C$12+Inputs!$C$13+Inputs!$C$14)</f>
        <v>-332</v>
      </c>
      <c r="C7" s="23" t="n">
        <f aca="false">$A7*Inputs!$C$6*Inputs!$C$7*(Inputs!$C$8-Inputs!$C$9)-Inputs!$C$10/C$4-(Inputs!$C$12+Inputs!$C$13+Inputs!$C$14)</f>
        <v>-82</v>
      </c>
      <c r="D7" s="23" t="n">
        <f aca="false">$A7*Inputs!$C$6*Inputs!$C$7*(Inputs!$C$8-Inputs!$C$9)-Inputs!$C$10/D$4-(Inputs!$C$12+Inputs!$C$13+Inputs!$C$14)</f>
        <v>43</v>
      </c>
      <c r="E7" s="23" t="n">
        <f aca="false">$A7*Inputs!$C$6*Inputs!$C$7*(Inputs!$C$8-Inputs!$C$9)-Inputs!$C$10/E$4-(Inputs!$C$12+Inputs!$C$13+Inputs!$C$14)</f>
        <v>118</v>
      </c>
      <c r="F7" s="23" t="n">
        <f aca="false">$A7*Inputs!$C$6*Inputs!$C$7*(Inputs!$C$8-Inputs!$C$9)-Inputs!$C$10/F$4-(Inputs!$C$12+Inputs!$C$13+Inputs!$C$14)</f>
        <v>168</v>
      </c>
    </row>
    <row r="8" customFormat="false" ht="15" hidden="false" customHeight="false" outlineLevel="0" collapsed="false">
      <c r="A8" s="22" t="n">
        <v>0.7</v>
      </c>
      <c r="B8" s="23" t="n">
        <f aca="false">$A8*Inputs!$C$6*Inputs!$C$7*(Inputs!$C$8-Inputs!$C$9)-Inputs!$C$10/B$4-(Inputs!$C$12+Inputs!$C$13+Inputs!$C$14)</f>
        <v>-189</v>
      </c>
      <c r="C8" s="23" t="n">
        <f aca="false">$A8*Inputs!$C$6*Inputs!$C$7*(Inputs!$C$8-Inputs!$C$9)-Inputs!$C$10/C$4-(Inputs!$C$12+Inputs!$C$13+Inputs!$C$14)</f>
        <v>61</v>
      </c>
      <c r="D8" s="23" t="n">
        <f aca="false">$A8*Inputs!$C$6*Inputs!$C$7*(Inputs!$C$8-Inputs!$C$9)-Inputs!$C$10/D$4-(Inputs!$C$12+Inputs!$C$13+Inputs!$C$14)</f>
        <v>186</v>
      </c>
      <c r="E8" s="23" t="n">
        <f aca="false">$A8*Inputs!$C$6*Inputs!$C$7*(Inputs!$C$8-Inputs!$C$9)-Inputs!$C$10/E$4-(Inputs!$C$12+Inputs!$C$13+Inputs!$C$14)</f>
        <v>261</v>
      </c>
      <c r="F8" s="23" t="n">
        <f aca="false">$A8*Inputs!$C$6*Inputs!$C$7*(Inputs!$C$8-Inputs!$C$9)-Inputs!$C$10/F$4-(Inputs!$C$12+Inputs!$C$13+Inputs!$C$14)</f>
        <v>311</v>
      </c>
    </row>
    <row r="9" customFormat="false" ht="15" hidden="false" customHeight="false" outlineLevel="0" collapsed="false">
      <c r="A9" s="22" t="n">
        <v>0.8</v>
      </c>
      <c r="B9" s="23" t="n">
        <f aca="false">$A9*Inputs!$C$6*Inputs!$C$7*(Inputs!$C$8-Inputs!$C$9)-Inputs!$C$10/B$4-(Inputs!$C$12+Inputs!$C$13+Inputs!$C$14)</f>
        <v>-45.9999999999998</v>
      </c>
      <c r="C9" s="23" t="n">
        <f aca="false">$A9*Inputs!$C$6*Inputs!$C$7*(Inputs!$C$8-Inputs!$C$9)-Inputs!$C$10/C$4-(Inputs!$C$12+Inputs!$C$13+Inputs!$C$14)</f>
        <v>204</v>
      </c>
      <c r="D9" s="23" t="n">
        <f aca="false">$A9*Inputs!$C$6*Inputs!$C$7*(Inputs!$C$8-Inputs!$C$9)-Inputs!$C$10/D$4-(Inputs!$C$12+Inputs!$C$13+Inputs!$C$14)</f>
        <v>329</v>
      </c>
      <c r="E9" s="23" t="n">
        <f aca="false">$A9*Inputs!$C$6*Inputs!$C$7*(Inputs!$C$8-Inputs!$C$9)-Inputs!$C$10/E$4-(Inputs!$C$12+Inputs!$C$13+Inputs!$C$14)</f>
        <v>404</v>
      </c>
      <c r="F9" s="23" t="n">
        <f aca="false">$A9*Inputs!$C$6*Inputs!$C$7*(Inputs!$C$8-Inputs!$C$9)-Inputs!$C$10/F$4-(Inputs!$C$12+Inputs!$C$13+Inputs!$C$14)</f>
        <v>454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3" t="s">
        <v>83</v>
      </c>
      <c r="B12" s="2"/>
      <c r="C12" s="2"/>
      <c r="D12" s="2"/>
      <c r="E12" s="2"/>
      <c r="F12" s="2"/>
    </row>
    <row r="13" customFormat="false" ht="15" hidden="false" customHeight="false" outlineLevel="0" collapsed="false">
      <c r="A13" s="2"/>
      <c r="B13" s="21" t="n">
        <v>1.5</v>
      </c>
      <c r="C13" s="21" t="n">
        <v>2</v>
      </c>
      <c r="D13" s="21" t="n">
        <v>2.5</v>
      </c>
      <c r="E13" s="21" t="n">
        <v>3</v>
      </c>
      <c r="F13" s="21" t="n">
        <v>3.5</v>
      </c>
    </row>
    <row r="14" customFormat="false" ht="15" hidden="false" customHeight="false" outlineLevel="0" collapsed="false">
      <c r="A14" s="24" t="n">
        <v>1500</v>
      </c>
      <c r="B14" s="23" t="n">
        <f aca="false">Inputs!$C$5*B$13*$A14*(Inputs!$C$8-Inputs!$C$9)-Inputs!$C$10/Inputs!$C$11-(Inputs!$C$12+Inputs!$C$13+Inputs!$C$14)</f>
        <v>-464</v>
      </c>
      <c r="C14" s="23" t="n">
        <f aca="false">Inputs!$C$5*C$13*$A14*(Inputs!$C$8-Inputs!$C$9)-Inputs!$C$10/Inputs!$C$11-(Inputs!$C$12+Inputs!$C$13+Inputs!$C$14)</f>
        <v>-347</v>
      </c>
      <c r="D14" s="23" t="n">
        <f aca="false">Inputs!$C$5*D$13*$A14*(Inputs!$C$8-Inputs!$C$9)-Inputs!$C$10/Inputs!$C$11-(Inputs!$C$12+Inputs!$C$13+Inputs!$C$14)</f>
        <v>-230</v>
      </c>
      <c r="E14" s="23" t="n">
        <f aca="false">Inputs!$C$5*E$13*$A14*(Inputs!$C$8-Inputs!$C$9)-Inputs!$C$10/Inputs!$C$11-(Inputs!$C$12+Inputs!$C$13+Inputs!$C$14)</f>
        <v>-113</v>
      </c>
      <c r="F14" s="23" t="n">
        <f aca="false">Inputs!$C$5*F$13*$A14*(Inputs!$C$8-Inputs!$C$9)-Inputs!$C$10/Inputs!$C$11-(Inputs!$C$12+Inputs!$C$13+Inputs!$C$14)</f>
        <v>4</v>
      </c>
    </row>
    <row r="15" customFormat="false" ht="15" hidden="false" customHeight="false" outlineLevel="0" collapsed="false">
      <c r="A15" s="24" t="n">
        <v>2000</v>
      </c>
      <c r="B15" s="23" t="n">
        <f aca="false">Inputs!$C$5*B$13*$A15*(Inputs!$C$8-Inputs!$C$9)-Inputs!$C$10/Inputs!$C$11-(Inputs!$C$12+Inputs!$C$13+Inputs!$C$14)</f>
        <v>-347</v>
      </c>
      <c r="C15" s="23" t="n">
        <f aca="false">Inputs!$C$5*C$13*$A15*(Inputs!$C$8-Inputs!$C$9)-Inputs!$C$10/Inputs!$C$11-(Inputs!$C$12+Inputs!$C$13+Inputs!$C$14)</f>
        <v>-191</v>
      </c>
      <c r="D15" s="23" t="n">
        <f aca="false">Inputs!$C$5*D$13*$A15*(Inputs!$C$8-Inputs!$C$9)-Inputs!$C$10/Inputs!$C$11-(Inputs!$C$12+Inputs!$C$13+Inputs!$C$14)</f>
        <v>-35</v>
      </c>
      <c r="E15" s="23" t="n">
        <f aca="false">Inputs!$C$5*E$13*$A15*(Inputs!$C$8-Inputs!$C$9)-Inputs!$C$10/Inputs!$C$11-(Inputs!$C$12+Inputs!$C$13+Inputs!$C$14)</f>
        <v>121</v>
      </c>
      <c r="F15" s="23" t="n">
        <f aca="false">Inputs!$C$5*F$13*$A15*(Inputs!$C$8-Inputs!$C$9)-Inputs!$C$10/Inputs!$C$11-(Inputs!$C$12+Inputs!$C$13+Inputs!$C$14)</f>
        <v>277</v>
      </c>
    </row>
    <row r="16" customFormat="false" ht="15" hidden="false" customHeight="false" outlineLevel="0" collapsed="false">
      <c r="A16" s="24" t="n">
        <v>2500</v>
      </c>
      <c r="B16" s="23" t="n">
        <f aca="false">Inputs!$C$5*B$13*$A16*(Inputs!$C$8-Inputs!$C$9)-Inputs!$C$10/Inputs!$C$11-(Inputs!$C$12+Inputs!$C$13+Inputs!$C$14)</f>
        <v>-230</v>
      </c>
      <c r="C16" s="23" t="n">
        <f aca="false">Inputs!$C$5*C$13*$A16*(Inputs!$C$8-Inputs!$C$9)-Inputs!$C$10/Inputs!$C$11-(Inputs!$C$12+Inputs!$C$13+Inputs!$C$14)</f>
        <v>-35</v>
      </c>
      <c r="D16" s="23" t="n">
        <f aca="false">Inputs!$C$5*D$13*$A16*(Inputs!$C$8-Inputs!$C$9)-Inputs!$C$10/Inputs!$C$11-(Inputs!$C$12+Inputs!$C$13+Inputs!$C$14)</f>
        <v>160</v>
      </c>
      <c r="E16" s="23" t="n">
        <f aca="false">Inputs!$C$5*E$13*$A16*(Inputs!$C$8-Inputs!$C$9)-Inputs!$C$10/Inputs!$C$11-(Inputs!$C$12+Inputs!$C$13+Inputs!$C$14)</f>
        <v>355</v>
      </c>
      <c r="F16" s="23" t="n">
        <f aca="false">Inputs!$C$5*F$13*$A16*(Inputs!$C$8-Inputs!$C$9)-Inputs!$C$10/Inputs!$C$11-(Inputs!$C$12+Inputs!$C$13+Inputs!$C$14)</f>
        <v>550</v>
      </c>
    </row>
    <row r="17" customFormat="false" ht="15" hidden="false" customHeight="false" outlineLevel="0" collapsed="false">
      <c r="A17" s="24" t="n">
        <v>3000</v>
      </c>
      <c r="B17" s="23" t="n">
        <f aca="false">Inputs!$C$5*B$13*$A17*(Inputs!$C$8-Inputs!$C$9)-Inputs!$C$10/Inputs!$C$11-(Inputs!$C$12+Inputs!$C$13+Inputs!$C$14)</f>
        <v>-113</v>
      </c>
      <c r="C17" s="23" t="n">
        <f aca="false">Inputs!$C$5*C$13*$A17*(Inputs!$C$8-Inputs!$C$9)-Inputs!$C$10/Inputs!$C$11-(Inputs!$C$12+Inputs!$C$13+Inputs!$C$14)</f>
        <v>121</v>
      </c>
      <c r="D17" s="23" t="n">
        <f aca="false">Inputs!$C$5*D$13*$A17*(Inputs!$C$8-Inputs!$C$9)-Inputs!$C$10/Inputs!$C$11-(Inputs!$C$12+Inputs!$C$13+Inputs!$C$14)</f>
        <v>355</v>
      </c>
      <c r="E17" s="23" t="n">
        <f aca="false">Inputs!$C$5*E$13*$A17*(Inputs!$C$8-Inputs!$C$9)-Inputs!$C$10/Inputs!$C$11-(Inputs!$C$12+Inputs!$C$13+Inputs!$C$14)</f>
        <v>589</v>
      </c>
      <c r="F17" s="23" t="n">
        <f aca="false">Inputs!$C$5*F$13*$A17*(Inputs!$C$8-Inputs!$C$9)-Inputs!$C$10/Inputs!$C$11-(Inputs!$C$12+Inputs!$C$13+Inputs!$C$14)</f>
        <v>823</v>
      </c>
    </row>
    <row r="18" customFormat="false" ht="15" hidden="false" customHeight="false" outlineLevel="0" collapsed="false">
      <c r="A18" s="24" t="n">
        <v>3500</v>
      </c>
      <c r="B18" s="23" t="n">
        <f aca="false">Inputs!$C$5*B$13*$A18*(Inputs!$C$8-Inputs!$C$9)-Inputs!$C$10/Inputs!$C$11-(Inputs!$C$12+Inputs!$C$13+Inputs!$C$14)</f>
        <v>3.99999999999989</v>
      </c>
      <c r="C18" s="23" t="n">
        <f aca="false">Inputs!$C$5*C$13*$A18*(Inputs!$C$8-Inputs!$C$9)-Inputs!$C$10/Inputs!$C$11-(Inputs!$C$12+Inputs!$C$13+Inputs!$C$14)</f>
        <v>277</v>
      </c>
      <c r="D18" s="23" t="n">
        <f aca="false">Inputs!$C$5*D$13*$A18*(Inputs!$C$8-Inputs!$C$9)-Inputs!$C$10/Inputs!$C$11-(Inputs!$C$12+Inputs!$C$13+Inputs!$C$14)</f>
        <v>550</v>
      </c>
      <c r="E18" s="23" t="n">
        <f aca="false">Inputs!$C$5*E$13*$A18*(Inputs!$C$8-Inputs!$C$9)-Inputs!$C$10/Inputs!$C$11-(Inputs!$C$12+Inputs!$C$13+Inputs!$C$14)</f>
        <v>823</v>
      </c>
      <c r="F18" s="23" t="n">
        <f aca="false">Inputs!$C$5*F$13*$A18*(Inputs!$C$8-Inputs!$C$9)-Inputs!$C$10/Inputs!$C$11-(Inputs!$C$12+Inputs!$C$13+Inputs!$C$14)</f>
        <v>1096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2026-10-24T01:54:43Z</dcterms:created>
  <dc:creator>openpyxl</dc:creator>
  <dc:description/>
  <dc:language>en-US</dc:language>
  <cp:lastModifiedBy/>
  <dcterms:modified xsi:type="dcterms:W3CDTF">2026-10-24T01:54:47Z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